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ntext" sheetId="1" state="visible" r:id="rId1"/>
    <sheet xmlns:r="http://schemas.openxmlformats.org/officeDocument/2006/relationships" name="Raw Data — Before" sheetId="2" state="visible" r:id="rId2"/>
    <sheet xmlns:r="http://schemas.openxmlformats.org/officeDocument/2006/relationships" name="Master" sheetId="3" state="visible" r:id="rId3"/>
    <sheet xmlns:r="http://schemas.openxmlformats.org/officeDocument/2006/relationships" name="HR" sheetId="4" state="visible" r:id="rId4"/>
    <sheet xmlns:r="http://schemas.openxmlformats.org/officeDocument/2006/relationships" name="Accounting" sheetId="5" state="visible" r:id="rId5"/>
    <sheet xmlns:r="http://schemas.openxmlformats.org/officeDocument/2006/relationships" name="Management"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0"/>
    <numFmt numFmtId="165" formatCode="\$#,##0"/>
  </numFmts>
  <fonts count="20">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3"/>
    </font>
    <font>
      <name val="Cambria"/>
      <charset val="1"/>
      <family val="0"/>
      <b val="1"/>
      <sz val="10"/>
    </font>
    <font>
      <name val="Cambria"/>
      <charset val="1"/>
      <family val="0"/>
      <sz val="10"/>
    </font>
    <font>
      <name val="Cambria"/>
      <charset val="1"/>
      <family val="0"/>
      <b val="1"/>
      <color rgb="FFFFFFFF"/>
      <sz val="12"/>
    </font>
    <font>
      <name val="Cambria"/>
      <charset val="1"/>
      <family val="0"/>
      <i val="1"/>
      <color rgb="FF555555"/>
      <sz val="9"/>
    </font>
    <font>
      <name val="Cambria"/>
      <charset val="1"/>
      <family val="0"/>
      <b val="1"/>
      <color rgb="FFFFFFFF"/>
      <sz val="10"/>
    </font>
    <font>
      <name val="Cambria"/>
      <charset val="1"/>
      <family val="0"/>
      <color rgb="FF333333"/>
      <sz val="9"/>
    </font>
    <font>
      <name val="Cambria"/>
      <charset val="1"/>
      <family val="0"/>
      <b val="1"/>
      <color rgb="FFFFFFFF"/>
      <sz val="9"/>
    </font>
    <font>
      <name val="Cambria"/>
      <charset val="1"/>
      <family val="0"/>
      <color rgb="FF000000"/>
      <sz val="10"/>
    </font>
    <font>
      <name val="Cambria"/>
      <charset val="1"/>
      <family val="0"/>
      <b val="1"/>
      <color rgb="FF8B0000"/>
      <sz val="10"/>
    </font>
    <font>
      <name val="Cambria"/>
      <charset val="1"/>
      <family val="0"/>
      <b val="1"/>
      <color rgb="FF7D6608"/>
      <sz val="10"/>
    </font>
    <font>
      <name val="Cambria"/>
      <charset val="1"/>
      <family val="0"/>
      <b val="1"/>
      <color rgb="FF375623"/>
      <sz val="10"/>
    </font>
    <font>
      <name val="Cambria"/>
      <charset val="1"/>
      <family val="0"/>
      <b val="1"/>
      <color rgb="FF000000"/>
      <sz val="10"/>
    </font>
    <font>
      <name val="Cambria"/>
      <charset val="1"/>
      <family val="0"/>
      <b val="1"/>
      <sz val="11"/>
    </font>
    <font>
      <name val="Cambria"/>
      <charset val="1"/>
      <family val="0"/>
      <i val="1"/>
      <sz val="9"/>
    </font>
    <font>
      <i val="1"/>
      <color rgb="00555555"/>
      <sz val="9"/>
    </font>
  </fonts>
  <fills count="15">
    <fill>
      <patternFill/>
    </fill>
    <fill>
      <patternFill patternType="gray125"/>
    </fill>
    <fill>
      <patternFill patternType="solid">
        <fgColor rgb="FF1F4E79"/>
        <bgColor rgb="FF003366"/>
      </patternFill>
    </fill>
    <fill>
      <patternFill patternType="solid">
        <fgColor rgb="FFD6E4F0"/>
        <bgColor rgb="FFE2EFDA"/>
      </patternFill>
    </fill>
    <fill>
      <patternFill patternType="solid">
        <fgColor rgb="FF8B0000"/>
        <bgColor rgb="FF800000"/>
      </patternFill>
    </fill>
    <fill>
      <patternFill patternType="solid">
        <fgColor rgb="FFFFF2CC"/>
        <bgColor rgb="FFFFF8F8"/>
      </patternFill>
    </fill>
    <fill>
      <patternFill patternType="solid">
        <fgColor rgb="FF595959"/>
        <bgColor rgb="FF555555"/>
      </patternFill>
    </fill>
    <fill>
      <patternFill patternType="solid">
        <fgColor rgb="FFFFF8F8"/>
        <bgColor rgb="FFF8FBFF"/>
      </patternFill>
    </fill>
    <fill>
      <patternFill patternType="solid">
        <fgColor rgb="FFFFFFFF"/>
        <bgColor rgb="FFF8FBFF"/>
      </patternFill>
    </fill>
    <fill>
      <patternFill patternType="solid">
        <fgColor rgb="FFEBF3FB"/>
        <bgColor rgb="FFF8FBFF"/>
      </patternFill>
    </fill>
    <fill>
      <patternFill patternType="solid">
        <fgColor rgb="FF2E75B6"/>
        <bgColor rgb="FF0066CC"/>
      </patternFill>
    </fill>
    <fill>
      <patternFill patternType="solid">
        <fgColor rgb="FFF8FBFF"/>
        <bgColor rgb="FFFFFFFF"/>
      </patternFill>
    </fill>
    <fill>
      <patternFill patternType="solid">
        <fgColor rgb="FFFFD7D7"/>
        <bgColor rgb="FFFFF2CC"/>
      </patternFill>
    </fill>
    <fill>
      <patternFill patternType="solid">
        <fgColor rgb="FFE2EFDA"/>
        <bgColor rgb="FFEBF3FB"/>
      </patternFill>
    </fill>
    <fill>
      <patternFill patternType="solid">
        <fgColor rgb="00FFF2CC"/>
      </patternFill>
    </fill>
  </fills>
  <borders count="7">
    <border>
      <left/>
      <right/>
      <top/>
      <bottom/>
      <diagonal/>
    </border>
    <border>
      <left style="thin">
        <color rgb="FFAAAAAA"/>
      </left>
      <right style="thin">
        <color rgb="FFAAAAAA"/>
      </right>
      <top style="thin">
        <color rgb="FFAAAAAA"/>
      </top>
      <bottom style="thin">
        <color rgb="FFAAAAAA"/>
      </bottom>
      <diagonal/>
    </border>
    <border>
      <left style="thin">
        <color rgb="FFCCCCCC"/>
      </left>
      <right style="thin">
        <color rgb="FFCCCCCC"/>
      </right>
      <top style="thin">
        <color rgb="FFCCCCCC"/>
      </top>
      <bottom style="thin">
        <color rgb="FFCCCCCC"/>
      </bottom>
      <diagonal/>
    </border>
    <border>
      <left/>
      <right/>
      <top style="thin">
        <color rgb="FFAAAAAA"/>
      </top>
      <bottom/>
      <diagonal/>
    </border>
    <border>
      <left/>
      <right style="thin">
        <color rgb="FFAAAAAA"/>
      </right>
      <top style="thin">
        <color rgb="FFAAAAAA"/>
      </top>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1" applyAlignment="1" pivotButton="0" quotePrefix="0" xfId="0">
      <alignment horizontal="left" vertical="center"/>
    </xf>
    <xf numFmtId="0" fontId="6" fillId="0" borderId="1" applyAlignment="1" pivotButton="0" quotePrefix="0" xfId="0">
      <alignment horizontal="general" vertical="center" wrapText="1"/>
    </xf>
    <xf numFmtId="0" fontId="7" fillId="4" borderId="0" applyAlignment="1" pivotButton="0" quotePrefix="0" xfId="0">
      <alignment horizontal="center" vertical="center"/>
    </xf>
    <xf numFmtId="0" fontId="8" fillId="5" borderId="0" applyAlignment="1" pivotButton="0" quotePrefix="0" xfId="0">
      <alignment horizontal="left" vertical="bottom" wrapText="1"/>
    </xf>
    <xf numFmtId="0" fontId="9" fillId="6" borderId="2" applyAlignment="1" pivotButton="0" quotePrefix="0" xfId="0">
      <alignment horizontal="center" vertical="center"/>
    </xf>
    <xf numFmtId="0" fontId="5" fillId="7" borderId="2" applyAlignment="1" pivotButton="0" quotePrefix="0" xfId="0">
      <alignment horizontal="general" vertical="top" wrapText="1"/>
    </xf>
    <xf numFmtId="0" fontId="10" fillId="7" borderId="2" applyAlignment="1" pivotButton="0" quotePrefix="0" xfId="0">
      <alignment horizontal="general" vertical="top" wrapText="1"/>
    </xf>
    <xf numFmtId="0" fontId="5" fillId="8" borderId="2" applyAlignment="1" pivotButton="0" quotePrefix="0" xfId="0">
      <alignment horizontal="general" vertical="top" wrapText="1"/>
    </xf>
    <xf numFmtId="0" fontId="10" fillId="8" borderId="2" applyAlignment="1" pivotButton="0" quotePrefix="0" xfId="0">
      <alignment horizontal="general" vertical="top" wrapText="1"/>
    </xf>
    <xf numFmtId="0" fontId="7" fillId="2" borderId="0" applyAlignment="1" pivotButton="0" quotePrefix="0" xfId="0">
      <alignment horizontal="center" vertical="center" wrapText="1"/>
    </xf>
    <xf numFmtId="0" fontId="8" fillId="9" borderId="0" applyAlignment="1" pivotButton="0" quotePrefix="0" xfId="0">
      <alignment horizontal="general" vertical="bottom"/>
    </xf>
    <xf numFmtId="0" fontId="11" fillId="10" borderId="1" applyAlignment="1" pivotButton="0" quotePrefix="0" xfId="0">
      <alignment horizontal="center" vertical="center" wrapText="1"/>
    </xf>
    <xf numFmtId="0" fontId="12" fillId="11" borderId="1" applyAlignment="1" pivotButton="0" quotePrefix="0" xfId="0">
      <alignment horizontal="left" vertical="center"/>
    </xf>
    <xf numFmtId="0" fontId="13" fillId="12" borderId="1" applyAlignment="1" pivotButton="0" quotePrefix="0" xfId="0">
      <alignment horizontal="center" vertical="center"/>
    </xf>
    <xf numFmtId="0" fontId="12" fillId="0" borderId="1" applyAlignment="1" pivotButton="0" quotePrefix="0" xfId="0">
      <alignment horizontal="left" vertical="center" wrapText="1"/>
    </xf>
    <xf numFmtId="0" fontId="12" fillId="8" borderId="1" applyAlignment="1" pivotButton="0" quotePrefix="0" xfId="0">
      <alignment horizontal="left" vertical="center"/>
    </xf>
    <xf numFmtId="0" fontId="14" fillId="5" borderId="1" applyAlignment="1" pivotButton="0" quotePrefix="0" xfId="0">
      <alignment horizontal="center" vertical="center"/>
    </xf>
    <xf numFmtId="0" fontId="15" fillId="13" borderId="1" applyAlignment="1" pivotButton="0" quotePrefix="0" xfId="0">
      <alignment horizontal="center" vertical="center"/>
    </xf>
    <xf numFmtId="164" fontId="12" fillId="11" borderId="1" applyAlignment="1" pivotButton="0" quotePrefix="0" xfId="0">
      <alignment horizontal="left" vertical="center"/>
    </xf>
    <xf numFmtId="164" fontId="12" fillId="8" borderId="1" applyAlignment="1" pivotButton="0" quotePrefix="0" xfId="0">
      <alignment horizontal="left" vertical="center"/>
    </xf>
    <xf numFmtId="0" fontId="16" fillId="3" borderId="1" applyAlignment="1" pivotButton="0" quotePrefix="0" xfId="0">
      <alignment horizontal="left" vertical="center"/>
    </xf>
    <xf numFmtId="164" fontId="17" fillId="3" borderId="1" applyAlignment="1" pivotButton="0" quotePrefix="0" xfId="0">
      <alignment horizontal="general" vertical="bottom"/>
    </xf>
    <xf numFmtId="0" fontId="18" fillId="0" borderId="1" applyAlignment="1" pivotButton="0" quotePrefix="0" xfId="0">
      <alignment horizontal="general" vertical="bottom"/>
    </xf>
    <xf numFmtId="0" fontId="17" fillId="0" borderId="1" applyAlignment="1" pivotButton="0" quotePrefix="0" xfId="0">
      <alignment horizontal="center" vertical="bottom"/>
    </xf>
    <xf numFmtId="165" fontId="17" fillId="0" borderId="1" applyAlignment="1" pivotButton="0" quotePrefix="0" xfId="0">
      <alignment horizontal="center" vertical="bottom"/>
    </xf>
    <xf numFmtId="0" fontId="17" fillId="0" borderId="0" applyAlignment="1" pivotButton="0" quotePrefix="0" xfId="0">
      <alignment horizontal="general" vertical="bottom"/>
    </xf>
    <xf numFmtId="165" fontId="12" fillId="8" borderId="1" applyAlignment="1" pivotButton="0" quotePrefix="0" xfId="0">
      <alignment horizontal="left" vertical="center"/>
    </xf>
    <xf numFmtId="165" fontId="12" fillId="11" borderId="1"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horizontal="left" vertical="center"/>
    </xf>
    <xf numFmtId="0" fontId="6" fillId="0" borderId="1" applyAlignment="1" pivotButton="0" quotePrefix="0" xfId="0">
      <alignment horizontal="general" vertical="center" wrapText="1"/>
    </xf>
    <xf numFmtId="0" fontId="7" fillId="4" borderId="0" applyAlignment="1" pivotButton="0" quotePrefix="0" xfId="0">
      <alignment horizontal="center" vertical="center"/>
    </xf>
    <xf numFmtId="0" fontId="8" fillId="5" borderId="0" applyAlignment="1" pivotButton="0" quotePrefix="0" xfId="0">
      <alignment horizontal="left" vertical="bottom" wrapText="1"/>
    </xf>
    <xf numFmtId="0" fontId="9" fillId="6" borderId="2" applyAlignment="1" pivotButton="0" quotePrefix="0" xfId="0">
      <alignment horizontal="center" vertical="center"/>
    </xf>
    <xf numFmtId="0" fontId="5" fillId="7" borderId="2" applyAlignment="1" pivotButton="0" quotePrefix="0" xfId="0">
      <alignment horizontal="general" vertical="top" wrapText="1"/>
    </xf>
    <xf numFmtId="0" fontId="10" fillId="7" borderId="2" applyAlignment="1" pivotButton="0" quotePrefix="0" xfId="0">
      <alignment horizontal="general" vertical="top" wrapText="1"/>
    </xf>
    <xf numFmtId="0" fontId="5" fillId="8" borderId="2" applyAlignment="1" pivotButton="0" quotePrefix="0" xfId="0">
      <alignment horizontal="general" vertical="top" wrapText="1"/>
    </xf>
    <xf numFmtId="0" fontId="10" fillId="8" borderId="2" applyAlignment="1" pivotButton="0" quotePrefix="0" xfId="0">
      <alignment horizontal="general" vertical="top" wrapText="1"/>
    </xf>
    <xf numFmtId="0" fontId="7" fillId="2" borderId="0" applyAlignment="1" pivotButton="0" quotePrefix="0" xfId="0">
      <alignment horizontal="center" vertical="center" wrapText="1"/>
    </xf>
    <xf numFmtId="0" fontId="8" fillId="9" borderId="0" applyAlignment="1" pivotButton="0" quotePrefix="0" xfId="0">
      <alignment horizontal="general" vertical="bottom"/>
    </xf>
    <xf numFmtId="0" fontId="11" fillId="10" borderId="1" applyAlignment="1" pivotButton="0" quotePrefix="0" xfId="0">
      <alignment horizontal="center" vertical="center" wrapText="1"/>
    </xf>
    <xf numFmtId="0" fontId="12" fillId="11" borderId="1" applyAlignment="1" pivotButton="0" quotePrefix="0" xfId="0">
      <alignment horizontal="left" vertical="center"/>
    </xf>
    <xf numFmtId="0" fontId="13" fillId="12" borderId="1" applyAlignment="1" pivotButton="0" quotePrefix="0" xfId="0">
      <alignment horizontal="center" vertical="center"/>
    </xf>
    <xf numFmtId="0" fontId="12" fillId="0" borderId="1" applyAlignment="1" pivotButton="0" quotePrefix="0" xfId="0">
      <alignment horizontal="left" vertical="center" wrapText="1"/>
    </xf>
    <xf numFmtId="0" fontId="12" fillId="8" borderId="1" applyAlignment="1" pivotButton="0" quotePrefix="0" xfId="0">
      <alignment horizontal="left" vertical="center"/>
    </xf>
    <xf numFmtId="0" fontId="14" fillId="5" borderId="1" applyAlignment="1" pivotButton="0" quotePrefix="0" xfId="0">
      <alignment horizontal="center" vertical="center"/>
    </xf>
    <xf numFmtId="0" fontId="15" fillId="13" borderId="1" applyAlignment="1" pivotButton="0" quotePrefix="0" xfId="0">
      <alignment horizontal="center" vertical="center"/>
    </xf>
    <xf numFmtId="164" fontId="12" fillId="11" borderId="1" applyAlignment="1" pivotButton="0" quotePrefix="0" xfId="0">
      <alignment horizontal="left" vertical="center"/>
    </xf>
    <xf numFmtId="164" fontId="12" fillId="8" borderId="1" applyAlignment="1" pivotButton="0" quotePrefix="0" xfId="0">
      <alignment horizontal="left" vertical="center"/>
    </xf>
    <xf numFmtId="0" fontId="16" fillId="3" borderId="1" applyAlignment="1" pivotButton="0" quotePrefix="0" xfId="0">
      <alignment horizontal="left" vertical="center"/>
    </xf>
    <xf numFmtId="0" fontId="0" fillId="0" borderId="5" pivotButton="0" quotePrefix="0" xfId="0"/>
    <xf numFmtId="0" fontId="0" fillId="0" borderId="6" pivotButton="0" quotePrefix="0" xfId="0"/>
    <xf numFmtId="164" fontId="17" fillId="3" borderId="1" applyAlignment="1" pivotButton="0" quotePrefix="0" xfId="0">
      <alignment horizontal="general" vertical="bottom"/>
    </xf>
    <xf numFmtId="0" fontId="18" fillId="0" borderId="1" applyAlignment="1" pivotButton="0" quotePrefix="0" xfId="0">
      <alignment horizontal="general" vertical="bottom"/>
    </xf>
    <xf numFmtId="0" fontId="17" fillId="0" borderId="1" applyAlignment="1" pivotButton="0" quotePrefix="0" xfId="0">
      <alignment horizontal="center" vertical="bottom"/>
    </xf>
    <xf numFmtId="165" fontId="17" fillId="0" borderId="1" applyAlignment="1" pivotButton="0" quotePrefix="0" xfId="0">
      <alignment horizontal="center" vertical="bottom"/>
    </xf>
    <xf numFmtId="0" fontId="17" fillId="0" borderId="0" applyAlignment="1" pivotButton="0" quotePrefix="0" xfId="0">
      <alignment horizontal="general" vertical="bottom"/>
    </xf>
    <xf numFmtId="165" fontId="12" fillId="8" borderId="1" applyAlignment="1" pivotButton="0" quotePrefix="0" xfId="0">
      <alignment horizontal="left" vertical="center"/>
    </xf>
    <xf numFmtId="165" fontId="12" fillId="11" borderId="1" applyAlignment="1" pivotButton="0" quotePrefix="0" xfId="0">
      <alignment horizontal="left" vertical="center"/>
    </xf>
    <xf numFmtId="0" fontId="19" fillId="14" borderId="0" applyAlignment="1" pivotButton="0" quotePrefix="0" xfId="0">
      <alignment horizontal="left"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B0000"/>
      <rgbColor rgb="FF008000"/>
      <rgbColor rgb="FF000080"/>
      <rgbColor rgb="FF7D6608"/>
      <rgbColor rgb="FF800080"/>
      <rgbColor rgb="FF008080"/>
      <rgbColor rgb="FFCCCCCC"/>
      <rgbColor rgb="FF555555"/>
      <rgbColor rgb="FF9999FF"/>
      <rgbColor rgb="FF993366"/>
      <rgbColor rgb="FFFFF2CC"/>
      <rgbColor rgb="FFEBF3FB"/>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8FBFF"/>
      <rgbColor rgb="FFE2EFDA"/>
      <rgbColor rgb="FFFFF8F8"/>
      <rgbColor rgb="FF99CCFF"/>
      <rgbColor rgb="FFFF99CC"/>
      <rgbColor rgb="FFCC99FF"/>
      <rgbColor rgb="FFFFD7D7"/>
      <rgbColor rgb="FF2E75B6"/>
      <rgbColor rgb="FF33CCCC"/>
      <rgbColor rgb="FF99CC00"/>
      <rgbColor rgb="FFFFCC00"/>
      <rgbColor rgb="FFFF9900"/>
      <rgbColor rgb="FFFF6600"/>
      <rgbColor rgb="FF595959"/>
      <rgbColor rgb="FFAAAAAA"/>
      <rgbColor rgb="FF003366"/>
      <rgbColor rgb="FF339966"/>
      <rgbColor rgb="FF003300"/>
      <rgbColor rgb="FF375623"/>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31" min="1" max="1"/>
    <col width="80" customWidth="1" style="31" min="2" max="2"/>
  </cols>
  <sheetData>
    <row r="1" ht="30" customHeight="1" s="32">
      <c r="A1" s="33" t="inlineStr">
        <is>
          <t>Task Context &amp; Anonymization Notice</t>
        </is>
      </c>
    </row>
    <row r="3" ht="45" customHeight="1" s="32">
      <c r="A3" s="34" t="inlineStr">
        <is>
          <t>Task</t>
        </is>
      </c>
      <c r="B3" s="35" t="inlineStr">
        <is>
          <t>Transform disorganized employee data into a structured, scalable format suitable for HR, Accounting, and Top Management.</t>
        </is>
      </c>
    </row>
    <row r="4" ht="45" customHeight="1" s="32">
      <c r="A4" s="34" t="inlineStr">
        <is>
          <t>Deliverable</t>
        </is>
      </c>
      <c r="B4" s="35" t="inlineStr">
        <is>
          <t>Multi-sheet workbook: Master data source + 3 role-specific views (HR, Accounting, Management Dashboard).</t>
        </is>
      </c>
    </row>
    <row r="5" ht="45" customHeight="1" s="32">
      <c r="A5" s="34" t="inlineStr">
        <is>
          <t>Anonymization</t>
        </is>
      </c>
      <c r="B5" s="35" t="inlineStr">
        <is>
          <t>All names, contact details, and identifiable personal data have been replaced with fictional values. Salary figures, employment types, team structures, and flag logic remain unchanged — the analytical structure is fully preserved.</t>
        </is>
      </c>
    </row>
    <row r="6" ht="45" customHeight="1" s="32">
      <c r="A6" s="34" t="inlineStr">
        <is>
          <t>Author</t>
        </is>
      </c>
      <c r="B6" s="35" t="inlineStr">
        <is>
          <t>Nastka Dąbrowska</t>
        </is>
      </c>
    </row>
    <row r="7" ht="45" customHeight="1" s="32">
      <c r="A7" s="34" t="inlineStr">
        <is>
          <t>Original dataset</t>
        </is>
      </c>
      <c r="B7" s="35" t="inlineStr">
        <is>
          <t>7 employees across 3 teams, mix of full-time and contractors, multiple currencies and pay bases.</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31" min="1" max="1"/>
    <col width="90" customWidth="1" style="31" min="2" max="2"/>
  </cols>
  <sheetData>
    <row r="1" ht="27.75" customHeight="1" s="32">
      <c r="A1" s="36" t="inlineStr">
        <is>
          <t>Raw Data — Before (Original Input)</t>
        </is>
      </c>
    </row>
    <row r="2" ht="30" customHeight="1" s="32">
      <c r="A2" s="64" t="inlineStr">
        <is>
          <t>This is the original data as provided — 2 columns, all information in free-text blobs, no structure, no scalability. Names, contact details, and salary figures have been anonymized; the chaos, structure, and relative data patterns are preserved.</t>
        </is>
      </c>
    </row>
    <row r="3" ht="19.5" customHeight="1" s="32">
      <c r="A3" s="38" t="inlineStr">
        <is>
          <t>Name</t>
        </is>
      </c>
      <c r="B3" s="38" t="inlineStr">
        <is>
          <t>Info</t>
        </is>
      </c>
    </row>
    <row r="4" ht="79.5" customHeight="1" s="32">
      <c r="A4" s="39" t="inlineStr">
        <is>
          <t>Alex Johnson</t>
        </is>
      </c>
      <c r="B4" s="40" t="inlineStr">
        <is>
          <t>HTML web-dev. Salary increased from March 1st (previously 75k/year). Highly experienced, has a rather inflated opinion of oneself. Prefers only interesting tasks. Recently, has become quite unreliable; most likely, will be fired. 21 years old. Boston, salary $100K. In the "East" team.</t>
        </is>
      </c>
    </row>
    <row r="5" ht="79.5" customHeight="1" s="32">
      <c r="A5" s="41" t="inlineStr">
        <is>
          <t>Jordan Park</t>
        </is>
      </c>
      <c r="B5" s="42" t="inlineStr">
        <is>
          <t>1(617) 789-10-12
Email: jordan.p@email.com
Date of Birth: 01.12.88
It's too early to say much about him during the probationary period. He has proven himself as someone who always craves more tasks, indicating a diligent nature. He resides in Winnipeg (Canada) but is a citizen of the USA. Salary during the probationary period is $30,000, and after that, it will be increased to 45,000/y. The probationary period will end on August 1. Falcons - team.</t>
        </is>
      </c>
    </row>
    <row r="6" ht="79.5" customHeight="1" s="32">
      <c r="A6" s="39" t="inlineStr">
        <is>
          <t>Marco Rivera
(JavaScript dev)</t>
        </is>
      </c>
      <c r="B6" s="40" t="inlineStr">
        <is>
          <t>+13394540002 - his work number, 31 years, married, two children. Works in East team. The probationary period ends on May 15, 2024. Located in Mexico. The rate is fifty bucks per hour. After the probationary period, the salary is not specified; he says he wants to assess the complexity of tasks and then request the respective raise.</t>
        </is>
      </c>
    </row>
    <row r="7" ht="79.5" customHeight="1" s="32">
      <c r="A7" s="41" t="inlineStr">
        <is>
          <t>Thu Nguyen</t>
        </is>
      </c>
      <c r="B7" s="42" t="inlineStr">
        <is>
          <t>22 years old, +1930-201-02-33 (New-York), Skype: thu.n
Actual location Miami. Working hours are from 8 AM to 5 PM EST. Probationary period is 3 months starting from Dec 22nd, 2023; not attached to any team yet. Hourly rate is $20/h during the probationary period, and it will be increased to 30 after the probation.</t>
        </is>
      </c>
    </row>
    <row r="8" ht="79.5" customHeight="1" s="32">
      <c r="A8" s="39" t="inlineStr">
        <is>
          <t>Sofia Martinez</t>
        </is>
      </c>
      <c r="B8" s="40" t="inlineStr">
        <is>
          <t>(617) 345-09-99. Hired on Nov 22, will see in 3 months :) At FALCON team. Seems like a good JS coder. Facebook profile: facebook.com/SofiaMartinez. Boston, USA. 80/hour</t>
        </is>
      </c>
    </row>
    <row r="9" ht="79.5" customHeight="1" s="32">
      <c r="A9" s="41" t="inlineStr">
        <is>
          <t>Chidi Okafor</t>
        </is>
      </c>
      <c r="B9" s="42" t="inlineStr">
        <is>
          <t>Wants to develop backend on Node.js, 30 years old. JS coder. Awaiting a salary raise. Salary $80000, Atlanta (GA). Doesn't use a mobile phone, uses wife's phone +1-097-839-93-93. East.</t>
        </is>
      </c>
    </row>
    <row r="10" ht="79.5" customHeight="1" s="32">
      <c r="A10" s="39" t="inlineStr">
        <is>
          <t>Declan Walsh</t>
        </is>
      </c>
      <c r="B10" s="40" t="inlineStr">
        <is>
          <t>HTML/CSS developer. In the Western Lions team. Working since May 20, 2022. Very reliable person. Hourly rate is 100/h (200K approx). Social media profile: facebook.com/DeclanWalsh. 35 years old, unmarried, wants to move to Thailand in the summer.</t>
        </is>
      </c>
    </row>
  </sheetData>
  <mergeCells count="2">
    <mergeCell ref="A2:B2"/>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C10"/>
  <sheetViews>
    <sheetView showFormulas="0" showGridLines="1" showRowColHeaders="1" showZeros="1" rightToLeft="0" tabSelected="0" showOutlineSymbols="1" defaultGridColor="1"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baseColWidth="8" defaultColWidth="8.6796875" defaultRowHeight="15" zeroHeight="0" outlineLevelRow="0"/>
  <cols>
    <col width="9" customWidth="1" style="31" min="1" max="1"/>
    <col width="12" customWidth="1" style="31" min="2" max="2"/>
    <col width="10" customWidth="1" style="31" min="3" max="3"/>
    <col width="24" customWidth="1" style="31" min="4" max="4"/>
    <col width="9" customWidth="1" style="31" min="5" max="6"/>
    <col width="7" customWidth="1" style="31" min="7" max="8"/>
    <col width="12" customWidth="1" style="31" min="9" max="9"/>
    <col width="8" customWidth="1" style="31" min="10" max="10"/>
    <col width="14" customWidth="1" style="31" min="11" max="11"/>
    <col width="10" customWidth="1" style="31" min="12" max="13"/>
    <col width="14" customWidth="1" style="31" min="14" max="14"/>
    <col width="10" customWidth="1" style="31" min="15" max="15"/>
    <col width="8" customWidth="1" style="31" min="16" max="17"/>
    <col width="10" customWidth="1" style="31" min="18" max="20"/>
    <col width="12" customWidth="1" style="31" min="21" max="21"/>
    <col width="13" customWidth="1" style="31" min="22" max="22"/>
    <col width="16" customWidth="1" style="31" min="23" max="23"/>
    <col width="13" customWidth="1" style="31" min="24" max="24"/>
    <col width="18" customWidth="1" style="31" min="25" max="26"/>
    <col width="12" customWidth="1" style="31" min="27" max="27"/>
    <col width="14" customWidth="1" style="31" min="28" max="28"/>
    <col width="40" customWidth="1" style="31" min="29" max="29"/>
  </cols>
  <sheetData>
    <row r="1" ht="27.75" customHeight="1" s="32">
      <c r="A1" s="43" t="inlineStr">
        <is>
          <t>Employee Master Data — Single Source of Truth</t>
        </is>
      </c>
    </row>
    <row r="2" ht="15" customHeight="1" s="32">
      <c r="A2" s="44" t="inlineStr">
        <is>
          <t>All downstream views reference this sheet.  |  OK = no issues   !! = attention needed   !! RISK = urgent action required</t>
        </is>
      </c>
    </row>
    <row r="3" ht="21.75" customHeight="1" s="32">
      <c r="A3" s="45" t="inlineStr">
        <is>
          <t>ID</t>
        </is>
      </c>
      <c r="B3" s="45" t="inlineStr">
        <is>
          <t>Last Name</t>
        </is>
      </c>
      <c r="C3" s="45" t="inlineStr">
        <is>
          <t>First Name</t>
        </is>
      </c>
      <c r="D3" s="45" t="inlineStr">
        <is>
          <t>Job Title</t>
        </is>
      </c>
      <c r="E3" s="45" t="inlineStr">
        <is>
          <t>Frontend</t>
        </is>
      </c>
      <c r="F3" s="45" t="inlineStr">
        <is>
          <t>Backend</t>
        </is>
      </c>
      <c r="G3" s="45" t="inlineStr">
        <is>
          <t>HTML</t>
        </is>
      </c>
      <c r="H3" s="45" t="inlineStr">
        <is>
          <t>CSS</t>
        </is>
      </c>
      <c r="I3" s="45" t="inlineStr">
        <is>
          <t>JavaScript</t>
        </is>
      </c>
      <c r="J3" s="45" t="inlineStr">
        <is>
          <t>Node.js</t>
        </is>
      </c>
      <c r="K3" s="45" t="inlineStr">
        <is>
          <t>Team</t>
        </is>
      </c>
      <c r="L3" s="45" t="inlineStr">
        <is>
          <t>Status</t>
        </is>
      </c>
      <c r="M3" s="45" t="inlineStr">
        <is>
          <t>Status Flag</t>
        </is>
      </c>
      <c r="N3" s="45" t="inlineStr">
        <is>
          <t>Employment Type</t>
        </is>
      </c>
      <c r="O3" s="45" t="inlineStr">
        <is>
          <t>Pay Basis</t>
        </is>
      </c>
      <c r="P3" s="45" t="inlineStr">
        <is>
          <t>Rate</t>
        </is>
      </c>
      <c r="Q3" s="45" t="inlineStr">
        <is>
          <t>Currency</t>
        </is>
      </c>
      <c r="R3" s="45" t="inlineStr">
        <is>
          <t>Rate Unit</t>
        </is>
      </c>
      <c r="S3" s="45" t="inlineStr">
        <is>
          <t>City</t>
        </is>
      </c>
      <c r="T3" s="45" t="inlineStr">
        <is>
          <t>Country</t>
        </is>
      </c>
      <c r="U3" s="45" t="inlineStr">
        <is>
          <t>Citizenship</t>
        </is>
      </c>
      <c r="V3" s="45" t="inlineStr">
        <is>
          <t>Date of Birth</t>
        </is>
      </c>
      <c r="W3" s="45" t="inlineStr">
        <is>
          <t>Phone (Direct)</t>
        </is>
      </c>
      <c r="X3" s="45" t="inlineStr">
        <is>
          <t>Direct Phone?</t>
        </is>
      </c>
      <c r="Y3" s="45" t="inlineStr">
        <is>
          <t>Alt Contact Type</t>
        </is>
      </c>
      <c r="Z3" s="45" t="inlineStr">
        <is>
          <t>Alt Contact Value</t>
        </is>
      </c>
      <c r="AA3" s="45" t="inlineStr">
        <is>
          <t>Hire Date</t>
        </is>
      </c>
      <c r="AB3" s="45" t="inlineStr">
        <is>
          <t>Probation End</t>
        </is>
      </c>
      <c r="AC3" s="45" t="inlineStr">
        <is>
          <t>Notes &amp; Flags</t>
        </is>
      </c>
    </row>
    <row r="4" ht="39.75" customHeight="1" s="32">
      <c r="A4" s="46" t="inlineStr">
        <is>
          <t>EMP-001</t>
        </is>
      </c>
      <c r="B4" s="46" t="inlineStr">
        <is>
          <t>Johnson</t>
        </is>
      </c>
      <c r="C4" s="46" t="inlineStr">
        <is>
          <t>Alex</t>
        </is>
      </c>
      <c r="D4" s="46" t="inlineStr">
        <is>
          <t>HTML Web Developer</t>
        </is>
      </c>
      <c r="E4" s="46" t="inlineStr">
        <is>
          <t>Y</t>
        </is>
      </c>
      <c r="F4" s="46" t="inlineStr">
        <is>
          <t>N</t>
        </is>
      </c>
      <c r="G4" s="46" t="inlineStr">
        <is>
          <t>Y</t>
        </is>
      </c>
      <c r="H4" s="46" t="inlineStr">
        <is>
          <t>N</t>
        </is>
      </c>
      <c r="I4" s="46" t="inlineStr">
        <is>
          <t>N</t>
        </is>
      </c>
      <c r="J4" s="46" t="inlineStr">
        <is>
          <t>N</t>
        </is>
      </c>
      <c r="K4" s="46" t="inlineStr">
        <is>
          <t>East</t>
        </is>
      </c>
      <c r="L4" s="46" t="inlineStr">
        <is>
          <t>Active</t>
        </is>
      </c>
      <c r="M4" s="47" t="inlineStr">
        <is>
          <t>!! RISK</t>
        </is>
      </c>
      <c r="N4" s="46" t="inlineStr">
        <is>
          <t>Full-time</t>
        </is>
      </c>
      <c r="O4" s="46" t="inlineStr">
        <is>
          <t>Salary</t>
        </is>
      </c>
      <c r="P4" s="46" t="n">
        <v>100000</v>
      </c>
      <c r="Q4" s="46" t="inlineStr">
        <is>
          <t>USD</t>
        </is>
      </c>
      <c r="R4" s="46" t="inlineStr">
        <is>
          <t>per year</t>
        </is>
      </c>
      <c r="S4" s="46" t="inlineStr">
        <is>
          <t>Chicago</t>
        </is>
      </c>
      <c r="T4" s="46" t="inlineStr">
        <is>
          <t>USA</t>
        </is>
      </c>
      <c r="U4" s="46" t="inlineStr">
        <is>
          <t>USA</t>
        </is>
      </c>
      <c r="V4" s="46" t="n"/>
      <c r="W4" s="46" t="n"/>
      <c r="X4" s="46" t="inlineStr">
        <is>
          <t>N</t>
        </is>
      </c>
      <c r="Y4" s="46" t="n"/>
      <c r="Z4" s="46" t="n"/>
      <c r="AA4" s="46" t="n"/>
      <c r="AB4" s="46" t="n"/>
      <c r="AC4" s="48" t="inlineStr">
        <is>
          <t>Performance &amp; reliability concerns. Possible termination. Salary raised to $100K from Mar 1 (prev. $75K).</t>
        </is>
      </c>
    </row>
    <row r="5" ht="39.75" customHeight="1" s="32">
      <c r="A5" s="49" t="inlineStr">
        <is>
          <t>EMP-002</t>
        </is>
      </c>
      <c r="B5" s="49" t="inlineStr">
        <is>
          <t>Park</t>
        </is>
      </c>
      <c r="C5" s="49" t="inlineStr">
        <is>
          <t>Jordan</t>
        </is>
      </c>
      <c r="D5" s="49" t="inlineStr">
        <is>
          <t>TBD</t>
        </is>
      </c>
      <c r="E5" s="49" t="inlineStr">
        <is>
          <t>N</t>
        </is>
      </c>
      <c r="F5" s="49" t="inlineStr">
        <is>
          <t>N</t>
        </is>
      </c>
      <c r="G5" s="49" t="inlineStr">
        <is>
          <t>N</t>
        </is>
      </c>
      <c r="H5" s="49" t="inlineStr">
        <is>
          <t>N</t>
        </is>
      </c>
      <c r="I5" s="49" t="inlineStr">
        <is>
          <t>N</t>
        </is>
      </c>
      <c r="J5" s="49" t="inlineStr">
        <is>
          <t>N</t>
        </is>
      </c>
      <c r="K5" s="49" t="inlineStr">
        <is>
          <t>Falcons</t>
        </is>
      </c>
      <c r="L5" s="49" t="inlineStr">
        <is>
          <t>Probation</t>
        </is>
      </c>
      <c r="M5" s="50" t="inlineStr">
        <is>
          <t>!!</t>
        </is>
      </c>
      <c r="N5" s="49" t="inlineStr">
        <is>
          <t>Full-time</t>
        </is>
      </c>
      <c r="O5" s="49" t="inlineStr">
        <is>
          <t>Salary</t>
        </is>
      </c>
      <c r="P5" s="49" t="n">
        <v>30000</v>
      </c>
      <c r="Q5" s="49" t="inlineStr">
        <is>
          <t>USD</t>
        </is>
      </c>
      <c r="R5" s="49" t="inlineStr">
        <is>
          <t>per year</t>
        </is>
      </c>
      <c r="S5" s="49" t="inlineStr">
        <is>
          <t>Vancouver</t>
        </is>
      </c>
      <c r="T5" s="49" t="inlineStr">
        <is>
          <t>Canada</t>
        </is>
      </c>
      <c r="U5" s="49" t="inlineStr">
        <is>
          <t>USA</t>
        </is>
      </c>
      <c r="V5" s="49" t="inlineStr">
        <is>
          <t>1988-12-01</t>
        </is>
      </c>
      <c r="W5" s="49" t="inlineStr">
        <is>
          <t>+16177890001</t>
        </is>
      </c>
      <c r="X5" s="49" t="inlineStr">
        <is>
          <t>Y</t>
        </is>
      </c>
      <c r="Y5" s="49" t="inlineStr">
        <is>
          <t>Email</t>
        </is>
      </c>
      <c r="Z5" s="49" t="inlineStr">
        <is>
          <t>jordan.p@email.com</t>
        </is>
      </c>
      <c r="AA5" s="49" t="n"/>
      <c r="AB5" s="49" t="inlineStr">
        <is>
          <t>2024-08-01</t>
        </is>
      </c>
      <c r="AC5" s="48" t="inlineStr">
        <is>
          <t>Salary $30K during probation → $45K from Aug 1 2024. Diligent worker, no concerns.</t>
        </is>
      </c>
    </row>
    <row r="6" ht="39.75" customHeight="1" s="32">
      <c r="A6" s="46" t="inlineStr">
        <is>
          <t>EMP-003</t>
        </is>
      </c>
      <c r="B6" s="46" t="inlineStr">
        <is>
          <t>Rivera</t>
        </is>
      </c>
      <c r="C6" s="46" t="inlineStr">
        <is>
          <t>Marco</t>
        </is>
      </c>
      <c r="D6" s="46" t="inlineStr">
        <is>
          <t>JavaScript Developer</t>
        </is>
      </c>
      <c r="E6" s="46" t="inlineStr">
        <is>
          <t>Y</t>
        </is>
      </c>
      <c r="F6" s="46" t="inlineStr">
        <is>
          <t>N</t>
        </is>
      </c>
      <c r="G6" s="46" t="inlineStr">
        <is>
          <t>N</t>
        </is>
      </c>
      <c r="H6" s="46" t="inlineStr">
        <is>
          <t>N</t>
        </is>
      </c>
      <c r="I6" s="46" t="inlineStr">
        <is>
          <t>Y</t>
        </is>
      </c>
      <c r="J6" s="46" t="inlineStr">
        <is>
          <t>N</t>
        </is>
      </c>
      <c r="K6" s="46" t="inlineStr">
        <is>
          <t>East</t>
        </is>
      </c>
      <c r="L6" s="46" t="inlineStr">
        <is>
          <t>Probation</t>
        </is>
      </c>
      <c r="M6" s="50" t="inlineStr">
        <is>
          <t>!!</t>
        </is>
      </c>
      <c r="N6" s="46" t="inlineStr">
        <is>
          <t>Contractor</t>
        </is>
      </c>
      <c r="O6" s="46" t="inlineStr">
        <is>
          <t>Hourly</t>
        </is>
      </c>
      <c r="P6" s="46" t="n">
        <v>50</v>
      </c>
      <c r="Q6" s="46" t="inlineStr">
        <is>
          <t>USD</t>
        </is>
      </c>
      <c r="R6" s="46" t="inlineStr">
        <is>
          <t>per hour</t>
        </is>
      </c>
      <c r="S6" s="46" t="inlineStr">
        <is>
          <t>Remote</t>
        </is>
      </c>
      <c r="T6" s="46" t="inlineStr">
        <is>
          <t>Mexico</t>
        </is>
      </c>
      <c r="U6" s="46" t="n"/>
      <c r="V6" s="46" t="n"/>
      <c r="W6" s="46" t="inlineStr">
        <is>
          <t>+13394540002</t>
        </is>
      </c>
      <c r="X6" s="46" t="inlineStr">
        <is>
          <t>Y</t>
        </is>
      </c>
      <c r="Y6" s="46" t="inlineStr">
        <is>
          <t>Work phone only</t>
        </is>
      </c>
      <c r="Z6" s="46" t="n"/>
      <c r="AA6" s="46" t="n"/>
      <c r="AB6" s="46" t="inlineStr">
        <is>
          <t>2024-05-15</t>
        </is>
      </c>
      <c r="AC6" s="48" t="inlineStr">
        <is>
          <t>$50/h during probation. Post-probation salary TBD.</t>
        </is>
      </c>
    </row>
    <row r="7" ht="39.75" customHeight="1" s="32">
      <c r="A7" s="49" t="inlineStr">
        <is>
          <t>EMP-004</t>
        </is>
      </c>
      <c r="B7" s="49" t="inlineStr">
        <is>
          <t>Nguyen</t>
        </is>
      </c>
      <c r="C7" s="49" t="inlineStr">
        <is>
          <t>Thu</t>
        </is>
      </c>
      <c r="D7" s="49" t="inlineStr">
        <is>
          <t>TBD</t>
        </is>
      </c>
      <c r="E7" s="49" t="inlineStr">
        <is>
          <t>N</t>
        </is>
      </c>
      <c r="F7" s="49" t="inlineStr">
        <is>
          <t>N</t>
        </is>
      </c>
      <c r="G7" s="49" t="inlineStr">
        <is>
          <t>N</t>
        </is>
      </c>
      <c r="H7" s="49" t="inlineStr">
        <is>
          <t>N</t>
        </is>
      </c>
      <c r="I7" s="49" t="inlineStr">
        <is>
          <t>N</t>
        </is>
      </c>
      <c r="J7" s="49" t="inlineStr">
        <is>
          <t>N</t>
        </is>
      </c>
      <c r="K7" s="49" t="inlineStr">
        <is>
          <t>Unassigned</t>
        </is>
      </c>
      <c r="L7" s="49" t="inlineStr">
        <is>
          <t>Probation</t>
        </is>
      </c>
      <c r="M7" s="50" t="inlineStr">
        <is>
          <t>!!</t>
        </is>
      </c>
      <c r="N7" s="49" t="inlineStr">
        <is>
          <t>Contractor</t>
        </is>
      </c>
      <c r="O7" s="49" t="inlineStr">
        <is>
          <t>Hourly</t>
        </is>
      </c>
      <c r="P7" s="49" t="n">
        <v>20</v>
      </c>
      <c r="Q7" s="49" t="inlineStr">
        <is>
          <t>USD</t>
        </is>
      </c>
      <c r="R7" s="49" t="inlineStr">
        <is>
          <t>per hour</t>
        </is>
      </c>
      <c r="S7" s="49" t="inlineStr">
        <is>
          <t>Miami</t>
        </is>
      </c>
      <c r="T7" s="49" t="inlineStr">
        <is>
          <t>USA</t>
        </is>
      </c>
      <c r="U7" s="49" t="n"/>
      <c r="V7" s="49" t="n"/>
      <c r="W7" s="49" t="inlineStr">
        <is>
          <t>+19302010003</t>
        </is>
      </c>
      <c r="X7" s="49" t="inlineStr">
        <is>
          <t>Y</t>
        </is>
      </c>
      <c r="Y7" s="49" t="inlineStr">
        <is>
          <t>Skype</t>
        </is>
      </c>
      <c r="Z7" s="49" t="inlineStr">
        <is>
          <t>thu.n</t>
        </is>
      </c>
      <c r="AA7" s="49" t="inlineStr">
        <is>
          <t>2023-12-22</t>
        </is>
      </c>
      <c r="AB7" s="49" t="inlineStr">
        <is>
          <t>2024-03-22</t>
        </is>
      </c>
      <c r="AC7" s="48" t="inlineStr">
        <is>
          <t>$20/h probation → $30/h after. Not team-assigned yet.</t>
        </is>
      </c>
    </row>
    <row r="8" ht="39.75" customHeight="1" s="32">
      <c r="A8" s="46" t="inlineStr">
        <is>
          <t>EMP-005</t>
        </is>
      </c>
      <c r="B8" s="46" t="inlineStr">
        <is>
          <t>Martinez</t>
        </is>
      </c>
      <c r="C8" s="46" t="inlineStr">
        <is>
          <t>Sofia</t>
        </is>
      </c>
      <c r="D8" s="46" t="inlineStr">
        <is>
          <t>JavaScript Developer</t>
        </is>
      </c>
      <c r="E8" s="46" t="inlineStr">
        <is>
          <t>Y</t>
        </is>
      </c>
      <c r="F8" s="46" t="inlineStr">
        <is>
          <t>N</t>
        </is>
      </c>
      <c r="G8" s="46" t="inlineStr">
        <is>
          <t>N</t>
        </is>
      </c>
      <c r="H8" s="46" t="inlineStr">
        <is>
          <t>N</t>
        </is>
      </c>
      <c r="I8" s="46" t="inlineStr">
        <is>
          <t>Y</t>
        </is>
      </c>
      <c r="J8" s="46" t="inlineStr">
        <is>
          <t>N</t>
        </is>
      </c>
      <c r="K8" s="46" t="inlineStr">
        <is>
          <t>Falcons</t>
        </is>
      </c>
      <c r="L8" s="46" t="inlineStr">
        <is>
          <t>Active</t>
        </is>
      </c>
      <c r="M8" s="51" t="inlineStr">
        <is>
          <t>OK</t>
        </is>
      </c>
      <c r="N8" s="46" t="inlineStr">
        <is>
          <t>Contractor</t>
        </is>
      </c>
      <c r="O8" s="46" t="inlineStr">
        <is>
          <t>Hourly</t>
        </is>
      </c>
      <c r="P8" s="46" t="n">
        <v>80</v>
      </c>
      <c r="Q8" s="46" t="inlineStr">
        <is>
          <t>USD</t>
        </is>
      </c>
      <c r="R8" s="46" t="inlineStr">
        <is>
          <t>per hour</t>
        </is>
      </c>
      <c r="S8" s="46" t="inlineStr">
        <is>
          <t>Boston</t>
        </is>
      </c>
      <c r="T8" s="46" t="inlineStr">
        <is>
          <t>USA</t>
        </is>
      </c>
      <c r="U8" s="46" t="inlineStr">
        <is>
          <t>USA</t>
        </is>
      </c>
      <c r="V8" s="46" t="n"/>
      <c r="W8" s="46" t="inlineStr">
        <is>
          <t>+16173450004</t>
        </is>
      </c>
      <c r="X8" s="46" t="inlineStr">
        <is>
          <t>Y</t>
        </is>
      </c>
      <c r="Y8" s="46" t="n"/>
      <c r="Z8" s="46" t="n"/>
      <c r="AA8" s="46" t="inlineStr">
        <is>
          <t>2023-11-22</t>
        </is>
      </c>
      <c r="AB8" s="46" t="inlineStr">
        <is>
          <t>2024-02-22</t>
        </is>
      </c>
      <c r="AC8" s="48" t="inlineStr">
        <is>
          <t>Probation completed. Rate $80/h. Good JS developer.</t>
        </is>
      </c>
    </row>
    <row r="9" ht="39.75" customHeight="1" s="32">
      <c r="A9" s="49" t="inlineStr">
        <is>
          <t>EMP-006</t>
        </is>
      </c>
      <c r="B9" s="49" t="inlineStr">
        <is>
          <t>Okafor</t>
        </is>
      </c>
      <c r="C9" s="49" t="inlineStr">
        <is>
          <t>Chidi</t>
        </is>
      </c>
      <c r="D9" s="49" t="inlineStr">
        <is>
          <t>JavaScript Developer (Backend/Node.js)</t>
        </is>
      </c>
      <c r="E9" s="49" t="inlineStr">
        <is>
          <t>N</t>
        </is>
      </c>
      <c r="F9" s="49" t="inlineStr">
        <is>
          <t>Y</t>
        </is>
      </c>
      <c r="G9" s="49" t="inlineStr">
        <is>
          <t>N</t>
        </is>
      </c>
      <c r="H9" s="49" t="inlineStr">
        <is>
          <t>N</t>
        </is>
      </c>
      <c r="I9" s="49" t="inlineStr">
        <is>
          <t>Y</t>
        </is>
      </c>
      <c r="J9" s="49" t="inlineStr">
        <is>
          <t>Y</t>
        </is>
      </c>
      <c r="K9" s="49" t="inlineStr">
        <is>
          <t>East</t>
        </is>
      </c>
      <c r="L9" s="49" t="inlineStr">
        <is>
          <t>Active</t>
        </is>
      </c>
      <c r="M9" s="50" t="inlineStr">
        <is>
          <t>!!</t>
        </is>
      </c>
      <c r="N9" s="49" t="inlineStr">
        <is>
          <t>Full-time</t>
        </is>
      </c>
      <c r="O9" s="49" t="inlineStr">
        <is>
          <t>Salary</t>
        </is>
      </c>
      <c r="P9" s="49" t="n">
        <v>80000</v>
      </c>
      <c r="Q9" s="49" t="inlineStr">
        <is>
          <t>USD</t>
        </is>
      </c>
      <c r="R9" s="49" t="inlineStr">
        <is>
          <t>per year</t>
        </is>
      </c>
      <c r="S9" s="49" t="inlineStr">
        <is>
          <t>Atlanta</t>
        </is>
      </c>
      <c r="T9" s="49" t="inlineStr">
        <is>
          <t>USA</t>
        </is>
      </c>
      <c r="U9" s="49" t="n"/>
      <c r="V9" s="49" t="n"/>
      <c r="W9" s="49" t="n"/>
      <c r="X9" s="49" t="inlineStr">
        <is>
          <t>N</t>
        </is>
      </c>
      <c r="Y9" s="49" t="inlineStr">
        <is>
          <t>Phone (spouse)</t>
        </is>
      </c>
      <c r="Z9" s="49" t="inlineStr">
        <is>
          <t>+10978390005</t>
        </is>
      </c>
      <c r="AA9" s="49" t="n"/>
      <c r="AB9" s="49" t="n"/>
      <c r="AC9" s="48" t="inlineStr">
        <is>
          <t>Salary raise requested. No personal mobile. Wants to specialize in Node.js backend.</t>
        </is>
      </c>
    </row>
    <row r="10" ht="39.75" customHeight="1" s="32">
      <c r="A10" s="46" t="inlineStr">
        <is>
          <t>EMP-007</t>
        </is>
      </c>
      <c r="B10" s="46" t="inlineStr">
        <is>
          <t>Walsh</t>
        </is>
      </c>
      <c r="C10" s="46" t="inlineStr">
        <is>
          <t>Declan</t>
        </is>
      </c>
      <c r="D10" s="46" t="inlineStr">
        <is>
          <t>HTML/CSS Developer</t>
        </is>
      </c>
      <c r="E10" s="46" t="inlineStr">
        <is>
          <t>Y</t>
        </is>
      </c>
      <c r="F10" s="46" t="inlineStr">
        <is>
          <t>N</t>
        </is>
      </c>
      <c r="G10" s="46" t="inlineStr">
        <is>
          <t>Y</t>
        </is>
      </c>
      <c r="H10" s="46" t="inlineStr">
        <is>
          <t>Y</t>
        </is>
      </c>
      <c r="I10" s="46" t="inlineStr">
        <is>
          <t>N</t>
        </is>
      </c>
      <c r="J10" s="46" t="inlineStr">
        <is>
          <t>N</t>
        </is>
      </c>
      <c r="K10" s="46" t="inlineStr">
        <is>
          <t>Western Lions</t>
        </is>
      </c>
      <c r="L10" s="46" t="inlineStr">
        <is>
          <t>Active</t>
        </is>
      </c>
      <c r="M10" s="50" t="inlineStr">
        <is>
          <t>!!</t>
        </is>
      </c>
      <c r="N10" s="46" t="inlineStr">
        <is>
          <t>Contractor</t>
        </is>
      </c>
      <c r="O10" s="46" t="inlineStr">
        <is>
          <t>Hourly</t>
        </is>
      </c>
      <c r="P10" s="46" t="n">
        <v>100</v>
      </c>
      <c r="Q10" s="46" t="inlineStr">
        <is>
          <t>USD</t>
        </is>
      </c>
      <c r="R10" s="46" t="inlineStr">
        <is>
          <t>per hour</t>
        </is>
      </c>
      <c r="S10" s="46" t="inlineStr">
        <is>
          <t>TBC</t>
        </is>
      </c>
      <c r="T10" s="46" t="n"/>
      <c r="U10" s="46" t="n"/>
      <c r="V10" s="46" t="n"/>
      <c r="W10" s="46" t="n"/>
      <c r="X10" s="46" t="inlineStr">
        <is>
          <t>N</t>
        </is>
      </c>
      <c r="Y10" s="46" t="n"/>
      <c r="Z10" s="46" t="n"/>
      <c r="AA10" s="46" t="inlineStr">
        <is>
          <t>2022-05-20</t>
        </is>
      </c>
      <c r="AB10" s="46" t="n"/>
      <c r="AC10" s="48" t="inlineStr">
        <is>
          <t>Rate $100/h. Planning to relocate — confirm remote policy.</t>
        </is>
      </c>
    </row>
  </sheetData>
  <mergeCells count="2">
    <mergeCell ref="A2:AC2"/>
    <mergeCell ref="A1:A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O10"/>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baseColWidth="8" defaultColWidth="8.6796875" defaultRowHeight="15" zeroHeight="0" outlineLevelRow="0"/>
  <cols>
    <col width="9" customWidth="1" style="31" min="1" max="1"/>
    <col width="20" customWidth="1" style="31" min="2" max="2"/>
    <col width="26" customWidth="1" style="31" min="3" max="3"/>
    <col width="14" customWidth="1" style="31" min="4" max="4"/>
    <col width="10" customWidth="1" style="31" min="5" max="6"/>
    <col width="14" customWidth="1" style="31" min="7" max="7"/>
    <col width="10" customWidth="1" style="31" min="8" max="8"/>
    <col width="16" customWidth="1" style="31" min="9" max="9"/>
    <col width="13" customWidth="1" style="31" min="10" max="10"/>
    <col width="18" customWidth="1" style="31" min="11" max="11"/>
    <col width="20" customWidth="1" style="31" min="12" max="12"/>
    <col width="12" customWidth="1" style="31" min="13" max="13"/>
    <col width="14" customWidth="1" style="31" min="14" max="14"/>
    <col width="50" customWidth="1" style="31" min="15" max="15"/>
  </cols>
  <sheetData>
    <row r="1" ht="15" customHeight="1" s="32">
      <c r="A1" s="43" t="inlineStr">
        <is>
          <t>HR View — People, Employment &amp; Probation Tracking</t>
        </is>
      </c>
    </row>
    <row r="2" ht="15" customHeight="1" s="32">
      <c r="A2" s="44" t="inlineStr">
        <is>
          <t>Headcount, contacts, probation status, open action items.  |  Amber = attention needed   Red = action required</t>
        </is>
      </c>
    </row>
    <row r="3" ht="21.75" customHeight="1" s="32">
      <c r="A3" s="45" t="inlineStr">
        <is>
          <t>ID</t>
        </is>
      </c>
      <c r="B3" s="45" t="inlineStr">
        <is>
          <t>Full Name</t>
        </is>
      </c>
      <c r="C3" s="45" t="inlineStr">
        <is>
          <t>Job Title</t>
        </is>
      </c>
      <c r="D3" s="45" t="inlineStr">
        <is>
          <t>Team</t>
        </is>
      </c>
      <c r="E3" s="45" t="inlineStr">
        <is>
          <t>Status</t>
        </is>
      </c>
      <c r="F3" s="45" t="inlineStr">
        <is>
          <t>Status Flag</t>
        </is>
      </c>
      <c r="G3" s="45" t="inlineStr">
        <is>
          <t>Employment Type</t>
        </is>
      </c>
      <c r="H3" s="45" t="inlineStr">
        <is>
          <t>Pay Basis</t>
        </is>
      </c>
      <c r="I3" s="45" t="inlineStr">
        <is>
          <t>Phone (Direct)</t>
        </is>
      </c>
      <c r="J3" s="45" t="inlineStr">
        <is>
          <t>Direct Phone?</t>
        </is>
      </c>
      <c r="K3" s="45" t="inlineStr">
        <is>
          <t>Alt Contact Type</t>
        </is>
      </c>
      <c r="L3" s="45" t="inlineStr">
        <is>
          <t>Alt Contact Value</t>
        </is>
      </c>
      <c r="M3" s="45" t="inlineStr">
        <is>
          <t>Hire Date</t>
        </is>
      </c>
      <c r="N3" s="45" t="inlineStr">
        <is>
          <t>Probation End</t>
        </is>
      </c>
      <c r="O3" s="45" t="inlineStr">
        <is>
          <t>Action Required</t>
        </is>
      </c>
    </row>
    <row r="4" ht="39.75" customHeight="1" s="32">
      <c r="A4" s="46" t="inlineStr">
        <is>
          <t>EMP-001</t>
        </is>
      </c>
      <c r="B4" s="46" t="inlineStr">
        <is>
          <t>Johnson, Alex</t>
        </is>
      </c>
      <c r="C4" s="46" t="inlineStr">
        <is>
          <t>HTML Web Developer</t>
        </is>
      </c>
      <c r="D4" s="46" t="inlineStr">
        <is>
          <t>East</t>
        </is>
      </c>
      <c r="E4" s="46" t="inlineStr">
        <is>
          <t>Active</t>
        </is>
      </c>
      <c r="F4" s="47" t="inlineStr">
        <is>
          <t>!! RISK</t>
        </is>
      </c>
      <c r="G4" s="46" t="inlineStr">
        <is>
          <t>Full-time</t>
        </is>
      </c>
      <c r="H4" s="46" t="inlineStr">
        <is>
          <t>Salary</t>
        </is>
      </c>
      <c r="I4" s="46" t="n"/>
      <c r="J4" s="46" t="inlineStr">
        <is>
          <t>N</t>
        </is>
      </c>
      <c r="K4" s="46" t="n"/>
      <c r="L4" s="46" t="n"/>
      <c r="M4" s="46" t="n"/>
      <c r="N4" s="46" t="n"/>
      <c r="O4" s="48" t="inlineStr">
        <is>
          <t>!! RISK: Performance review — reliability concerns. Potential termination.</t>
        </is>
      </c>
    </row>
    <row r="5" ht="39.75" customHeight="1" s="32">
      <c r="A5" s="49" t="inlineStr">
        <is>
          <t>EMP-002</t>
        </is>
      </c>
      <c r="B5" s="49" t="inlineStr">
        <is>
          <t>Park, Jordan</t>
        </is>
      </c>
      <c r="C5" s="49" t="inlineStr">
        <is>
          <t>TBD</t>
        </is>
      </c>
      <c r="D5" s="49" t="inlineStr">
        <is>
          <t>Falcons</t>
        </is>
      </c>
      <c r="E5" s="49" t="inlineStr">
        <is>
          <t>Probation</t>
        </is>
      </c>
      <c r="F5" s="50" t="inlineStr">
        <is>
          <t>!!</t>
        </is>
      </c>
      <c r="G5" s="49" t="inlineStr">
        <is>
          <t>Full-time</t>
        </is>
      </c>
      <c r="H5" s="49" t="inlineStr">
        <is>
          <t>Salary</t>
        </is>
      </c>
      <c r="I5" s="49" t="inlineStr">
        <is>
          <t>+16177890001</t>
        </is>
      </c>
      <c r="J5" s="49" t="inlineStr">
        <is>
          <t>Y</t>
        </is>
      </c>
      <c r="K5" s="49" t="inlineStr">
        <is>
          <t>Email</t>
        </is>
      </c>
      <c r="L5" s="49" t="inlineStr">
        <is>
          <t>jordan.p@email.com</t>
        </is>
      </c>
      <c r="M5" s="49" t="n"/>
      <c r="N5" s="49" t="inlineStr">
        <is>
          <t>2024-08-01</t>
        </is>
      </c>
      <c r="O5" s="48" t="inlineStr">
        <is>
          <t>!! Confirm role &amp; update salary to $45K on Aug 1 2024.</t>
        </is>
      </c>
    </row>
    <row r="6" ht="39.75" customHeight="1" s="32">
      <c r="A6" s="46" t="inlineStr">
        <is>
          <t>EMP-003</t>
        </is>
      </c>
      <c r="B6" s="46" t="inlineStr">
        <is>
          <t>Rivera, Marco</t>
        </is>
      </c>
      <c r="C6" s="46" t="inlineStr">
        <is>
          <t>JavaScript Developer</t>
        </is>
      </c>
      <c r="D6" s="46" t="inlineStr">
        <is>
          <t>East</t>
        </is>
      </c>
      <c r="E6" s="46" t="inlineStr">
        <is>
          <t>Probation</t>
        </is>
      </c>
      <c r="F6" s="50" t="inlineStr">
        <is>
          <t>!!</t>
        </is>
      </c>
      <c r="G6" s="46" t="inlineStr">
        <is>
          <t>Contractor</t>
        </is>
      </c>
      <c r="H6" s="46" t="inlineStr">
        <is>
          <t>Hourly</t>
        </is>
      </c>
      <c r="I6" s="46" t="inlineStr">
        <is>
          <t>+13394540002</t>
        </is>
      </c>
      <c r="J6" s="46" t="inlineStr">
        <is>
          <t>Y</t>
        </is>
      </c>
      <c r="K6" s="46" t="inlineStr">
        <is>
          <t>Work phone only</t>
        </is>
      </c>
      <c r="L6" s="46" t="n"/>
      <c r="M6" s="46" t="n"/>
      <c r="N6" s="46" t="inlineStr">
        <is>
          <t>2024-05-15</t>
        </is>
      </c>
      <c r="O6" s="48" t="inlineStr">
        <is>
          <t>!! Probation ends May 15. Schedule post-probation salary negotiation.</t>
        </is>
      </c>
    </row>
    <row r="7" ht="39.75" customHeight="1" s="32">
      <c r="A7" s="49" t="inlineStr">
        <is>
          <t>EMP-004</t>
        </is>
      </c>
      <c r="B7" s="49" t="inlineStr">
        <is>
          <t>Nguyen, Thu</t>
        </is>
      </c>
      <c r="C7" s="49" t="inlineStr">
        <is>
          <t>TBD</t>
        </is>
      </c>
      <c r="D7" s="49" t="inlineStr">
        <is>
          <t>Unassigned</t>
        </is>
      </c>
      <c r="E7" s="49" t="inlineStr">
        <is>
          <t>Probation</t>
        </is>
      </c>
      <c r="F7" s="50" t="inlineStr">
        <is>
          <t>!!</t>
        </is>
      </c>
      <c r="G7" s="49" t="inlineStr">
        <is>
          <t>Contractor</t>
        </is>
      </c>
      <c r="H7" s="49" t="inlineStr">
        <is>
          <t>Hourly</t>
        </is>
      </c>
      <c r="I7" s="49" t="inlineStr">
        <is>
          <t>+19302010003</t>
        </is>
      </c>
      <c r="J7" s="49" t="inlineStr">
        <is>
          <t>Y</t>
        </is>
      </c>
      <c r="K7" s="49" t="inlineStr">
        <is>
          <t>Skype</t>
        </is>
      </c>
      <c r="L7" s="49" t="inlineStr">
        <is>
          <t>thu.n</t>
        </is>
      </c>
      <c r="M7" s="49" t="inlineStr">
        <is>
          <t>2023-12-22</t>
        </is>
      </c>
      <c r="N7" s="49" t="inlineStr">
        <is>
          <t>2024-03-22</t>
        </is>
      </c>
      <c r="O7" s="48" t="inlineStr">
        <is>
          <t>!! No team assigned. Assign before probation ends Mar 22 2024.</t>
        </is>
      </c>
    </row>
    <row r="8" ht="39.75" customHeight="1" s="32">
      <c r="A8" s="46" t="inlineStr">
        <is>
          <t>EMP-005</t>
        </is>
      </c>
      <c r="B8" s="46" t="inlineStr">
        <is>
          <t>Martinez, Sofia</t>
        </is>
      </c>
      <c r="C8" s="46" t="inlineStr">
        <is>
          <t>JavaScript Developer</t>
        </is>
      </c>
      <c r="D8" s="46" t="inlineStr">
        <is>
          <t>Falcons</t>
        </is>
      </c>
      <c r="E8" s="46" t="inlineStr">
        <is>
          <t>Active</t>
        </is>
      </c>
      <c r="F8" s="51" t="inlineStr">
        <is>
          <t>OK</t>
        </is>
      </c>
      <c r="G8" s="46" t="inlineStr">
        <is>
          <t>Contractor</t>
        </is>
      </c>
      <c r="H8" s="46" t="inlineStr">
        <is>
          <t>Hourly</t>
        </is>
      </c>
      <c r="I8" s="46" t="inlineStr">
        <is>
          <t>+16173450004</t>
        </is>
      </c>
      <c r="J8" s="46" t="inlineStr">
        <is>
          <t>Y</t>
        </is>
      </c>
      <c r="K8" s="46" t="n"/>
      <c r="L8" s="46" t="n"/>
      <c r="M8" s="46" t="inlineStr">
        <is>
          <t>2023-11-22</t>
        </is>
      </c>
      <c r="N8" s="46" t="inlineStr">
        <is>
          <t>2024-02-22</t>
        </is>
      </c>
      <c r="O8" s="48" t="inlineStr">
        <is>
          <t>OK: Probation completed. No issues.</t>
        </is>
      </c>
    </row>
    <row r="9" ht="39.75" customHeight="1" s="32">
      <c r="A9" s="49" t="inlineStr">
        <is>
          <t>EMP-006</t>
        </is>
      </c>
      <c r="B9" s="49" t="inlineStr">
        <is>
          <t>Okafor, Chidi</t>
        </is>
      </c>
      <c r="C9" s="49" t="inlineStr">
        <is>
          <t>JavaScript Developer (Backend/Node.js)</t>
        </is>
      </c>
      <c r="D9" s="49" t="inlineStr">
        <is>
          <t>East</t>
        </is>
      </c>
      <c r="E9" s="49" t="inlineStr">
        <is>
          <t>Active</t>
        </is>
      </c>
      <c r="F9" s="50" t="inlineStr">
        <is>
          <t>!!</t>
        </is>
      </c>
      <c r="G9" s="49" t="inlineStr">
        <is>
          <t>Full-time</t>
        </is>
      </c>
      <c r="H9" s="49" t="inlineStr">
        <is>
          <t>Salary</t>
        </is>
      </c>
      <c r="I9" s="49" t="n"/>
      <c r="J9" s="49" t="inlineStr">
        <is>
          <t>N</t>
        </is>
      </c>
      <c r="K9" s="49" t="inlineStr">
        <is>
          <t>Phone (spouse)</t>
        </is>
      </c>
      <c r="L9" s="49" t="inlineStr">
        <is>
          <t>+10978390005</t>
        </is>
      </c>
      <c r="M9" s="49" t="n"/>
      <c r="N9" s="49" t="n"/>
      <c r="O9" s="48" t="inlineStr">
        <is>
          <t>!! Salary raise request open. Obtain direct contact number.</t>
        </is>
      </c>
    </row>
    <row r="10" ht="39.75" customHeight="1" s="32">
      <c r="A10" s="46" t="inlineStr">
        <is>
          <t>EMP-007</t>
        </is>
      </c>
      <c r="B10" s="46" t="inlineStr">
        <is>
          <t>Walsh, Declan</t>
        </is>
      </c>
      <c r="C10" s="46" t="inlineStr">
        <is>
          <t>HTML/CSS Developer</t>
        </is>
      </c>
      <c r="D10" s="46" t="inlineStr">
        <is>
          <t>Western Lions</t>
        </is>
      </c>
      <c r="E10" s="46" t="inlineStr">
        <is>
          <t>Active</t>
        </is>
      </c>
      <c r="F10" s="50" t="inlineStr">
        <is>
          <t>!!</t>
        </is>
      </c>
      <c r="G10" s="46" t="inlineStr">
        <is>
          <t>Contractor</t>
        </is>
      </c>
      <c r="H10" s="46" t="inlineStr">
        <is>
          <t>Hourly</t>
        </is>
      </c>
      <c r="I10" s="46" t="n"/>
      <c r="J10" s="46" t="inlineStr">
        <is>
          <t>N</t>
        </is>
      </c>
      <c r="K10" s="46" t="n"/>
      <c r="L10" s="46" t="n"/>
      <c r="M10" s="46" t="inlineStr">
        <is>
          <t>2022-05-20</t>
        </is>
      </c>
      <c r="N10" s="46" t="n"/>
      <c r="O10" s="48" t="inlineStr">
        <is>
          <t>!! Plans to relocate. Confirm remote work continuity.</t>
        </is>
      </c>
    </row>
  </sheetData>
  <mergeCells count="2">
    <mergeCell ref="A1:O1"/>
    <mergeCell ref="A2:O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K11"/>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baseColWidth="8" defaultColWidth="8.6796875" defaultRowHeight="15" zeroHeight="0" outlineLevelRow="0"/>
  <cols>
    <col width="9" customWidth="1" style="31" min="1" max="1"/>
    <col width="20" customWidth="1" style="31" min="2" max="2"/>
    <col width="10" customWidth="1" style="31" min="3" max="3"/>
    <col width="14" customWidth="1" style="31" min="4" max="4"/>
    <col width="10" customWidth="1" style="31" min="5" max="5"/>
    <col width="8" customWidth="1" style="31" min="6" max="7"/>
    <col width="10" customWidth="1" style="31" min="8" max="8"/>
    <col width="20" customWidth="1" style="31" min="9" max="10"/>
    <col width="50" customWidth="1" style="31" min="11" max="11"/>
  </cols>
  <sheetData>
    <row r="1" ht="15" customHeight="1" s="32">
      <c r="A1" s="43" t="inlineStr">
        <is>
          <t>Accounting View — Compensation &amp; Payroll</t>
        </is>
      </c>
    </row>
    <row r="2" ht="15" customHeight="1" s="32">
      <c r="A2" s="44" t="inlineStr">
        <is>
          <t>Hourly estimates based on 40h/week × 52 weeks. Always verify against logged hours before processing payroll.</t>
        </is>
      </c>
    </row>
    <row r="3" ht="21.75" customHeight="1" s="32">
      <c r="A3" s="45" t="inlineStr">
        <is>
          <t>ID</t>
        </is>
      </c>
      <c r="B3" s="45" t="inlineStr">
        <is>
          <t>Full Name</t>
        </is>
      </c>
      <c r="C3" s="45" t="inlineStr">
        <is>
          <t>Status</t>
        </is>
      </c>
      <c r="D3" s="45" t="inlineStr">
        <is>
          <t>Employment Type</t>
        </is>
      </c>
      <c r="E3" s="45" t="inlineStr">
        <is>
          <t>Pay Basis</t>
        </is>
      </c>
      <c r="F3" s="45" t="inlineStr">
        <is>
          <t>Rate</t>
        </is>
      </c>
      <c r="G3" s="45" t="inlineStr">
        <is>
          <t>Currency</t>
        </is>
      </c>
      <c r="H3" s="45" t="inlineStr">
        <is>
          <t>Rate Unit</t>
        </is>
      </c>
      <c r="I3" s="45" t="inlineStr">
        <is>
          <t>Est. Monthly Gross ($)</t>
        </is>
      </c>
      <c r="J3" s="45" t="inlineStr">
        <is>
          <t>Est. Annual Cost ($)</t>
        </is>
      </c>
      <c r="K3" s="45" t="inlineStr">
        <is>
          <t>Payroll Notes</t>
        </is>
      </c>
    </row>
    <row r="4" ht="34.5" customHeight="1" s="32">
      <c r="A4" s="46" t="inlineStr">
        <is>
          <t>EMP-001</t>
        </is>
      </c>
      <c r="B4" s="46" t="inlineStr">
        <is>
          <t>Johnson, Alex</t>
        </is>
      </c>
      <c r="C4" s="46" t="inlineStr">
        <is>
          <t>Active</t>
        </is>
      </c>
      <c r="D4" s="46" t="inlineStr">
        <is>
          <t>Full-time</t>
        </is>
      </c>
      <c r="E4" s="46" t="inlineStr">
        <is>
          <t>Salary</t>
        </is>
      </c>
      <c r="F4" s="46" t="n">
        <v>100000</v>
      </c>
      <c r="G4" s="46" t="inlineStr">
        <is>
          <t>USD</t>
        </is>
      </c>
      <c r="H4" s="46" t="inlineStr">
        <is>
          <t>per year</t>
        </is>
      </c>
      <c r="I4" s="52">
        <f>F4/12</f>
        <v/>
      </c>
      <c r="J4" s="52">
        <f>F4</f>
        <v/>
      </c>
      <c r="K4" s="46" t="inlineStr">
        <is>
          <t>Salary increased from $75K to $100K effective March 1.</t>
        </is>
      </c>
    </row>
    <row r="5" ht="34.5" customHeight="1" s="32">
      <c r="A5" s="49" t="inlineStr">
        <is>
          <t>EMP-002</t>
        </is>
      </c>
      <c r="B5" s="49" t="inlineStr">
        <is>
          <t>Park, Jordan</t>
        </is>
      </c>
      <c r="C5" s="49" t="inlineStr">
        <is>
          <t>Probation</t>
        </is>
      </c>
      <c r="D5" s="49" t="inlineStr">
        <is>
          <t>Full-time</t>
        </is>
      </c>
      <c r="E5" s="49" t="inlineStr">
        <is>
          <t>Salary</t>
        </is>
      </c>
      <c r="F5" s="49" t="n">
        <v>30000</v>
      </c>
      <c r="G5" s="49" t="inlineStr">
        <is>
          <t>USD</t>
        </is>
      </c>
      <c r="H5" s="49" t="inlineStr">
        <is>
          <t>per year</t>
        </is>
      </c>
      <c r="I5" s="53">
        <f>F5/12</f>
        <v/>
      </c>
      <c r="J5" s="53">
        <f>F5</f>
        <v/>
      </c>
      <c r="K5" s="49" t="inlineStr">
        <is>
          <t>Update payroll to $45K from Aug 1 2024.</t>
        </is>
      </c>
    </row>
    <row r="6" ht="34.5" customHeight="1" s="32">
      <c r="A6" s="46" t="inlineStr">
        <is>
          <t>EMP-003</t>
        </is>
      </c>
      <c r="B6" s="46" t="inlineStr">
        <is>
          <t>Rivera, Marco</t>
        </is>
      </c>
      <c r="C6" s="46" t="inlineStr">
        <is>
          <t>Probation</t>
        </is>
      </c>
      <c r="D6" s="46" t="inlineStr">
        <is>
          <t>Contractor</t>
        </is>
      </c>
      <c r="E6" s="46" t="inlineStr">
        <is>
          <t>Hourly</t>
        </is>
      </c>
      <c r="F6" s="46" t="n">
        <v>50</v>
      </c>
      <c r="G6" s="46" t="inlineStr">
        <is>
          <t>USD</t>
        </is>
      </c>
      <c r="H6" s="46" t="inlineStr">
        <is>
          <t>per hour</t>
        </is>
      </c>
      <c r="I6" s="52">
        <f>F6*40*52/12</f>
        <v/>
      </c>
      <c r="J6" s="52">
        <f>F6*40*52</f>
        <v/>
      </c>
      <c r="K6" s="46" t="inlineStr">
        <is>
          <t>Post-probation rate TBD. Est. based on 40h/week.</t>
        </is>
      </c>
    </row>
    <row r="7" ht="34.5" customHeight="1" s="32">
      <c r="A7" s="49" t="inlineStr">
        <is>
          <t>EMP-004</t>
        </is>
      </c>
      <c r="B7" s="49" t="inlineStr">
        <is>
          <t>Nguyen, Thu</t>
        </is>
      </c>
      <c r="C7" s="49" t="inlineStr">
        <is>
          <t>Probation</t>
        </is>
      </c>
      <c r="D7" s="49" t="inlineStr">
        <is>
          <t>Contractor</t>
        </is>
      </c>
      <c r="E7" s="49" t="inlineStr">
        <is>
          <t>Hourly</t>
        </is>
      </c>
      <c r="F7" s="49" t="n">
        <v>20</v>
      </c>
      <c r="G7" s="49" t="inlineStr">
        <is>
          <t>USD</t>
        </is>
      </c>
      <c r="H7" s="49" t="inlineStr">
        <is>
          <t>per hour</t>
        </is>
      </c>
      <c r="I7" s="53">
        <f>F7*40*52/12</f>
        <v/>
      </c>
      <c r="J7" s="53">
        <f>F7*40*52</f>
        <v/>
      </c>
      <c r="K7" s="49" t="inlineStr">
        <is>
          <t>Update rate to $30/h after Mar 22 2024.</t>
        </is>
      </c>
    </row>
    <row r="8" ht="34.5" customHeight="1" s="32">
      <c r="A8" s="46" t="inlineStr">
        <is>
          <t>EMP-005</t>
        </is>
      </c>
      <c r="B8" s="46" t="inlineStr">
        <is>
          <t>Martinez, Sofia</t>
        </is>
      </c>
      <c r="C8" s="46" t="inlineStr">
        <is>
          <t>Active</t>
        </is>
      </c>
      <c r="D8" s="46" t="inlineStr">
        <is>
          <t>Contractor</t>
        </is>
      </c>
      <c r="E8" s="46" t="inlineStr">
        <is>
          <t>Hourly</t>
        </is>
      </c>
      <c r="F8" s="46" t="n">
        <v>80</v>
      </c>
      <c r="G8" s="46" t="inlineStr">
        <is>
          <t>USD</t>
        </is>
      </c>
      <c r="H8" s="46" t="inlineStr">
        <is>
          <t>per hour</t>
        </is>
      </c>
      <c r="I8" s="52">
        <f>F8*40*52/12</f>
        <v/>
      </c>
      <c r="J8" s="52">
        <f>F8*40*52</f>
        <v/>
      </c>
      <c r="K8" s="46" t="inlineStr">
        <is>
          <t>Est. based on 40h/week. Verify monthly hours.</t>
        </is>
      </c>
    </row>
    <row r="9" ht="34.5" customHeight="1" s="32">
      <c r="A9" s="49" t="inlineStr">
        <is>
          <t>EMP-006</t>
        </is>
      </c>
      <c r="B9" s="49" t="inlineStr">
        <is>
          <t>Okafor, Chidi</t>
        </is>
      </c>
      <c r="C9" s="49" t="inlineStr">
        <is>
          <t>Active</t>
        </is>
      </c>
      <c r="D9" s="49" t="inlineStr">
        <is>
          <t>Full-time</t>
        </is>
      </c>
      <c r="E9" s="49" t="inlineStr">
        <is>
          <t>Salary</t>
        </is>
      </c>
      <c r="F9" s="49" t="n">
        <v>80000</v>
      </c>
      <c r="G9" s="49" t="inlineStr">
        <is>
          <t>USD</t>
        </is>
      </c>
      <c r="H9" s="49" t="inlineStr">
        <is>
          <t>per year</t>
        </is>
      </c>
      <c r="I9" s="53">
        <f>F9/12</f>
        <v/>
      </c>
      <c r="J9" s="53">
        <f>F9</f>
        <v/>
      </c>
      <c r="K9" s="49" t="inlineStr">
        <is>
          <t>Salary raise request pending.</t>
        </is>
      </c>
    </row>
    <row r="10" ht="34.5" customHeight="1" s="32">
      <c r="A10" s="46" t="inlineStr">
        <is>
          <t>EMP-007</t>
        </is>
      </c>
      <c r="B10" s="46" t="inlineStr">
        <is>
          <t>Walsh, Declan</t>
        </is>
      </c>
      <c r="C10" s="46" t="inlineStr">
        <is>
          <t>Active</t>
        </is>
      </c>
      <c r="D10" s="46" t="inlineStr">
        <is>
          <t>Contractor</t>
        </is>
      </c>
      <c r="E10" s="46" t="inlineStr">
        <is>
          <t>Hourly</t>
        </is>
      </c>
      <c r="F10" s="46" t="n">
        <v>100</v>
      </c>
      <c r="G10" s="46" t="inlineStr">
        <is>
          <t>USD</t>
        </is>
      </c>
      <c r="H10" s="46" t="inlineStr">
        <is>
          <t>per hour</t>
        </is>
      </c>
      <c r="I10" s="52">
        <f>F10*40*52/12</f>
        <v/>
      </c>
      <c r="J10" s="52">
        <f>F10*40*52</f>
        <v/>
      </c>
      <c r="K10" s="46" t="inlineStr">
        <is>
          <t>Est. based on 40h/week. Employed since May 2022.</t>
        </is>
      </c>
    </row>
    <row r="11" ht="24.75" customHeight="1" s="32">
      <c r="A11" s="54" t="inlineStr">
        <is>
          <t>ESTIMATED TOTAL</t>
        </is>
      </c>
      <c r="B11" s="55" t="n"/>
      <c r="C11" s="55" t="n"/>
      <c r="D11" s="55" t="n"/>
      <c r="E11" s="55" t="n"/>
      <c r="F11" s="55" t="n"/>
      <c r="G11" s="55" t="n"/>
      <c r="H11" s="56" t="n"/>
      <c r="I11" s="57">
        <f>SUM(I4:I10)</f>
        <v/>
      </c>
      <c r="J11" s="57">
        <f>SUM(J4:J10)</f>
        <v/>
      </c>
      <c r="K11" s="58" t="inlineStr">
        <is>
          <t>Estimate only — verify hourly staff against actual hours</t>
        </is>
      </c>
    </row>
  </sheetData>
  <mergeCells count="3">
    <mergeCell ref="A2:K2"/>
    <mergeCell ref="A1:K1"/>
    <mergeCell ref="A11:H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31" min="1" max="1"/>
    <col width="20" customWidth="1" style="31" min="2" max="2"/>
    <col width="28" customWidth="1" style="31" min="3" max="3"/>
    <col width="14" customWidth="1" style="31" min="4" max="4"/>
    <col width="10" customWidth="1" style="31" min="5" max="5"/>
    <col width="18" customWidth="1" style="31" min="6" max="6"/>
    <col width="10" customWidth="1" style="31" min="7" max="7"/>
    <col width="45" customWidth="1" style="31" min="8" max="8"/>
  </cols>
  <sheetData>
    <row r="1" ht="27.75" customHeight="1" s="32">
      <c r="A1" s="43" t="inlineStr">
        <is>
          <t>Management Dashboard — KPI Summary</t>
        </is>
      </c>
    </row>
    <row r="3" ht="15" customHeight="1" s="32">
      <c r="A3" s="34" t="inlineStr">
        <is>
          <t>Total Employees</t>
        </is>
      </c>
      <c r="B3" s="59">
        <f>COUNTA(A18:A24)</f>
        <v/>
      </c>
    </row>
    <row r="4" ht="15" customHeight="1" s="32">
      <c r="A4" s="34" t="inlineStr">
        <is>
          <t>Active Employees</t>
        </is>
      </c>
      <c r="B4" s="59">
        <f>COUNTIF(E18:E24,"Active")</f>
        <v/>
      </c>
    </row>
    <row r="5" ht="15" customHeight="1" s="32">
      <c r="A5" s="34" t="inlineStr">
        <is>
          <t>Employees on Probation</t>
        </is>
      </c>
      <c r="B5" s="59">
        <f>COUNTIF(E18:E24,"Probation")</f>
        <v/>
      </c>
    </row>
    <row r="6" ht="15" customHeight="1" s="32">
      <c r="A6" s="34" t="inlineStr">
        <is>
          <t>At-Risk Employees</t>
        </is>
      </c>
      <c r="B6" s="59">
        <f>COUNTIF(G18:G24,"!! RISK")</f>
        <v/>
      </c>
    </row>
    <row r="7" ht="15" customHeight="1" s="32">
      <c r="A7" s="34" t="inlineStr">
        <is>
          <t>Est. Total Annual Cost ($)</t>
        </is>
      </c>
      <c r="B7" s="60">
        <f>SUM(F18:F24)</f>
        <v/>
      </c>
    </row>
    <row r="9" ht="15" customHeight="1" s="32">
      <c r="A9" s="61" t="inlineStr">
        <is>
          <t>Team Summary</t>
        </is>
      </c>
    </row>
    <row r="10" ht="21.75" customHeight="1" s="32">
      <c r="A10" s="45" t="inlineStr">
        <is>
          <t>Team</t>
        </is>
      </c>
      <c r="B10" s="45" t="inlineStr">
        <is>
          <t>Headcount</t>
        </is>
      </c>
      <c r="C10" s="45" t="inlineStr">
        <is>
          <t>Active</t>
        </is>
      </c>
      <c r="D10" s="45" t="inlineStr">
        <is>
          <t>On Probation</t>
        </is>
      </c>
      <c r="E10" s="45" t="inlineStr">
        <is>
          <t>Est. Annual Cost ($)</t>
        </is>
      </c>
    </row>
    <row r="11" ht="15" customHeight="1" s="32">
      <c r="A11" s="49" t="inlineStr">
        <is>
          <t>East</t>
        </is>
      </c>
      <c r="B11" s="49" t="n">
        <v>3</v>
      </c>
      <c r="C11" s="49" t="n">
        <v>2</v>
      </c>
      <c r="D11" s="49" t="n">
        <v>1</v>
      </c>
      <c r="E11" s="62">
        <f>SUMIF(D18:D24,"East",F18:F24)</f>
        <v/>
      </c>
    </row>
    <row r="12" ht="15" customHeight="1" s="32">
      <c r="A12" s="46" t="inlineStr">
        <is>
          <t>Falcons</t>
        </is>
      </c>
      <c r="B12" s="46" t="n">
        <v>2</v>
      </c>
      <c r="C12" s="46" t="n">
        <v>1</v>
      </c>
      <c r="D12" s="46" t="n">
        <v>1</v>
      </c>
      <c r="E12" s="63">
        <f>SUMIF(D18:D24,"Falcons",F18:F24)</f>
        <v/>
      </c>
    </row>
    <row r="13" ht="15" customHeight="1" s="32">
      <c r="A13" s="49" t="inlineStr">
        <is>
          <t>Western Lions</t>
        </is>
      </c>
      <c r="B13" s="49" t="n">
        <v>1</v>
      </c>
      <c r="C13" s="49" t="n">
        <v>1</v>
      </c>
      <c r="D13" s="49" t="n">
        <v>0</v>
      </c>
      <c r="E13" s="62">
        <f>SUMIF(D18:D24,"Western Lions",F18:F24)</f>
        <v/>
      </c>
    </row>
    <row r="14" ht="15" customHeight="1" s="32">
      <c r="A14" s="46" t="inlineStr">
        <is>
          <t>Unassigned</t>
        </is>
      </c>
      <c r="B14" s="46" t="n">
        <v>1</v>
      </c>
      <c r="C14" s="46" t="n">
        <v>0</v>
      </c>
      <c r="D14" s="46" t="n">
        <v>1</v>
      </c>
      <c r="E14" s="63">
        <f>SUMIF(D18:D24,"Unassigned",F18:F24)</f>
        <v/>
      </c>
    </row>
    <row r="16" ht="15" customHeight="1" s="32">
      <c r="A16" s="61" t="inlineStr">
        <is>
          <t>Employee Detail</t>
        </is>
      </c>
    </row>
    <row r="17" ht="15" customHeight="1" s="32">
      <c r="A17" s="45" t="inlineStr">
        <is>
          <t>ID</t>
        </is>
      </c>
      <c r="B17" s="45" t="inlineStr">
        <is>
          <t>Full Name</t>
        </is>
      </c>
      <c r="C17" s="45" t="inlineStr">
        <is>
          <t>Job Title</t>
        </is>
      </c>
      <c r="D17" s="45" t="inlineStr">
        <is>
          <t>Team</t>
        </is>
      </c>
      <c r="E17" s="45" t="inlineStr">
        <is>
          <t>Status</t>
        </is>
      </c>
      <c r="F17" s="45" t="inlineStr">
        <is>
          <t>Est. Annual Cost ($)</t>
        </is>
      </c>
      <c r="G17" s="45" t="inlineStr">
        <is>
          <t>Status Flag</t>
        </is>
      </c>
      <c r="H17" s="45" t="inlineStr">
        <is>
          <t>Risk / Action</t>
        </is>
      </c>
    </row>
    <row r="18" ht="34.5" customHeight="1" s="32">
      <c r="A18" s="46" t="inlineStr">
        <is>
          <t>EMP-001</t>
        </is>
      </c>
      <c r="B18" s="46" t="inlineStr">
        <is>
          <t>Johnson, Alex</t>
        </is>
      </c>
      <c r="C18" s="46" t="inlineStr">
        <is>
          <t>HTML Web Developer</t>
        </is>
      </c>
      <c r="D18" s="46" t="inlineStr">
        <is>
          <t>East</t>
        </is>
      </c>
      <c r="E18" s="46" t="inlineStr">
        <is>
          <t>Active</t>
        </is>
      </c>
      <c r="F18" s="63" t="n">
        <v>100000</v>
      </c>
      <c r="G18" s="47" t="inlineStr">
        <is>
          <t>!! RISK</t>
        </is>
      </c>
      <c r="H18" s="48" t="inlineStr">
        <is>
          <t>!! RISK: Performance risk — under review</t>
        </is>
      </c>
    </row>
    <row r="19" ht="34.5" customHeight="1" s="32">
      <c r="A19" s="49" t="inlineStr">
        <is>
          <t>EMP-002</t>
        </is>
      </c>
      <c r="B19" s="49" t="inlineStr">
        <is>
          <t>Park, Jordan</t>
        </is>
      </c>
      <c r="C19" s="49" t="inlineStr">
        <is>
          <t>TBD</t>
        </is>
      </c>
      <c r="D19" s="49" t="inlineStr">
        <is>
          <t>Falcons</t>
        </is>
      </c>
      <c r="E19" s="49" t="inlineStr">
        <is>
          <t>Probation</t>
        </is>
      </c>
      <c r="F19" s="62" t="n">
        <v>30000</v>
      </c>
      <c r="G19" s="50" t="inlineStr">
        <is>
          <t>!!</t>
        </is>
      </c>
      <c r="H19" s="48" t="inlineStr">
        <is>
          <t>!! Cost rises to $45K on Aug 1 2024</t>
        </is>
      </c>
    </row>
    <row r="20" ht="34.5" customHeight="1" s="32">
      <c r="A20" s="46" t="inlineStr">
        <is>
          <t>EMP-003</t>
        </is>
      </c>
      <c r="B20" s="46" t="inlineStr">
        <is>
          <t>Rivera, Marco</t>
        </is>
      </c>
      <c r="C20" s="46" t="inlineStr">
        <is>
          <t>JavaScript Developer</t>
        </is>
      </c>
      <c r="D20" s="46" t="inlineStr">
        <is>
          <t>East</t>
        </is>
      </c>
      <c r="E20" s="46" t="inlineStr">
        <is>
          <t>Probation</t>
        </is>
      </c>
      <c r="F20" s="63">
        <f>Accounting!J6</f>
        <v/>
      </c>
      <c r="G20" s="50" t="inlineStr">
        <is>
          <t>!!</t>
        </is>
      </c>
      <c r="H20" s="48" t="inlineStr">
        <is>
          <t>!! Post-probation cost TBD (salary negotiation pending)</t>
        </is>
      </c>
    </row>
    <row r="21" ht="34.5" customHeight="1" s="32">
      <c r="A21" s="49" t="inlineStr">
        <is>
          <t>EMP-004</t>
        </is>
      </c>
      <c r="B21" s="49" t="inlineStr">
        <is>
          <t>Nguyen, Thu</t>
        </is>
      </c>
      <c r="C21" s="49" t="inlineStr">
        <is>
          <t>TBD</t>
        </is>
      </c>
      <c r="D21" s="49" t="inlineStr">
        <is>
          <t>Unassigned</t>
        </is>
      </c>
      <c r="E21" s="49" t="inlineStr">
        <is>
          <t>Probation</t>
        </is>
      </c>
      <c r="F21" s="62">
        <f>Accounting!J7</f>
        <v/>
      </c>
      <c r="G21" s="50" t="inlineStr">
        <is>
          <t>!!</t>
        </is>
      </c>
      <c r="H21" s="48" t="inlineStr">
        <is>
          <t>!! No team assigned. Probation ends Mar 22</t>
        </is>
      </c>
    </row>
    <row r="22" ht="34.5" customHeight="1" s="32">
      <c r="A22" s="46" t="inlineStr">
        <is>
          <t>EMP-005</t>
        </is>
      </c>
      <c r="B22" s="46" t="inlineStr">
        <is>
          <t>Martinez, Sofia</t>
        </is>
      </c>
      <c r="C22" s="46" t="inlineStr">
        <is>
          <t>JavaScript Developer</t>
        </is>
      </c>
      <c r="D22" s="46" t="inlineStr">
        <is>
          <t>Falcons</t>
        </is>
      </c>
      <c r="E22" s="46" t="inlineStr">
        <is>
          <t>Active</t>
        </is>
      </c>
      <c r="F22" s="63">
        <f>Accounting!J8</f>
        <v/>
      </c>
      <c r="G22" s="51" t="inlineStr">
        <is>
          <t>OK</t>
        </is>
      </c>
      <c r="H22" s="48" t="inlineStr">
        <is>
          <t>OK: No issues</t>
        </is>
      </c>
    </row>
    <row r="23" ht="34.5" customHeight="1" s="32">
      <c r="A23" s="49" t="inlineStr">
        <is>
          <t>EMP-006</t>
        </is>
      </c>
      <c r="B23" s="49" t="inlineStr">
        <is>
          <t>Okafor, Chidi</t>
        </is>
      </c>
      <c r="C23" s="49" t="inlineStr">
        <is>
          <t>JavaScript Developer (Backend/Node.js)</t>
        </is>
      </c>
      <c r="D23" s="49" t="inlineStr">
        <is>
          <t>East</t>
        </is>
      </c>
      <c r="E23" s="49" t="inlineStr">
        <is>
          <t>Active</t>
        </is>
      </c>
      <c r="F23" s="62" t="n">
        <v>80000</v>
      </c>
      <c r="G23" s="50" t="inlineStr">
        <is>
          <t>!!</t>
        </is>
      </c>
      <c r="H23" s="48" t="inlineStr">
        <is>
          <t>!! Salary raise request pending</t>
        </is>
      </c>
    </row>
    <row r="24" ht="34.5" customHeight="1" s="32">
      <c r="A24" s="46" t="inlineStr">
        <is>
          <t>EMP-007</t>
        </is>
      </c>
      <c r="B24" s="46" t="inlineStr">
        <is>
          <t>Walsh, Declan</t>
        </is>
      </c>
      <c r="C24" s="46" t="inlineStr">
        <is>
          <t>HTML/CSS Developer</t>
        </is>
      </c>
      <c r="D24" s="46" t="inlineStr">
        <is>
          <t>Western Lions</t>
        </is>
      </c>
      <c r="E24" s="46" t="inlineStr">
        <is>
          <t>Active</t>
        </is>
      </c>
      <c r="F24" s="63">
        <f>Accounting!J10</f>
        <v/>
      </c>
      <c r="G24" s="50" t="inlineStr">
        <is>
          <t>!!</t>
        </is>
      </c>
      <c r="H24" s="48" t="inlineStr">
        <is>
          <t>!! Relocation plan — confirm remote policy</t>
        </is>
      </c>
    </row>
  </sheetData>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2026-03-29T19:24:44Z</dcterms:created>
  <dcterms:modified xmlns:dcterms="http://purl.org/dc/terms/" xmlns:xsi="http://www.w3.org/2001/XMLSchema-instance" xsi:type="dcterms:W3CDTF">2026-03-29T19:31:19Z</dcterms:modified>
  <cp:revision>0</cp:revision>
</cp:coreProperties>
</file>